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8A74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35" customWidth="1" min="10" max="10"/>
    <col width="14" customWidth="1" min="11" max="11"/>
    <col width="35" customWidth="1" min="12" max="12"/>
    <col width="20" customWidth="1" min="13" max="13"/>
    <col width="22" customWidth="1" min="14" max="14"/>
  </cols>
  <sheetData>
    <row r="1" ht="30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Role Type</t>
        </is>
      </c>
      <c r="D1" s="1" t="inlineStr">
        <is>
          <t>Division</t>
        </is>
      </c>
      <c r="E1" s="1" t="inlineStr">
        <is>
          <t>Location</t>
        </is>
      </c>
      <c r="F1" s="1" t="inlineStr">
        <is>
          <t>Date Applied</t>
        </is>
      </c>
      <c r="G1" s="1" t="inlineStr">
        <is>
          <t>Deadline</t>
        </is>
      </c>
      <c r="H1" s="1" t="inlineStr">
        <is>
          <t>Status</t>
        </is>
      </c>
      <c r="I1" s="1" t="inlineStr">
        <is>
          <t>Last Updated</t>
        </is>
      </c>
      <c r="J1" s="1" t="inlineStr">
        <is>
          <t>Next Step</t>
        </is>
      </c>
      <c r="K1" s="1" t="inlineStr">
        <is>
          <t>Next Deadline</t>
        </is>
      </c>
      <c r="L1" s="1" t="inlineStr">
        <is>
          <t>Notes</t>
        </is>
      </c>
      <c r="M1" s="1" t="inlineStr">
        <is>
          <t>Thread ID</t>
        </is>
      </c>
      <c r="N1" s="1" t="inlineStr">
        <is>
          <t>Calendar Event ID</t>
        </is>
      </c>
    </row>
    <row r="2">
      <c r="A2" s="2" t="inlineStr">
        <is>
          <t>Morgan Stanley</t>
        </is>
      </c>
      <c r="B2" s="2" t="inlineStr">
        <is>
          <t>Early Insights Series</t>
        </is>
      </c>
      <c r="C2" s="2" t="inlineStr">
        <is>
          <t>Spring Week</t>
        </is>
      </c>
      <c r="D2" s="2" t="inlineStr">
        <is>
          <t>Various</t>
        </is>
      </c>
      <c r="E2" s="2" t="inlineStr">
        <is>
          <t>London</t>
        </is>
      </c>
      <c r="F2" s="2" t="inlineStr">
        <is>
          <t>2025-11-01</t>
        </is>
      </c>
      <c r="G2" s="2" t="n"/>
      <c r="H2" s="2" t="inlineStr">
        <is>
          <t>Offer</t>
        </is>
      </c>
      <c r="I2" s="2" t="inlineStr">
        <is>
          <t>2026-03-14</t>
        </is>
      </c>
      <c r="J2" s="2" t="n"/>
      <c r="K2" s="2" t="n"/>
      <c r="L2" s="2" t="inlineStr">
        <is>
          <t>Registration confirmed for 2026 Morgan Stanley Early Insights Series</t>
        </is>
      </c>
      <c r="M2" s="2" t="n"/>
      <c r="N2" s="2" t="n"/>
    </row>
    <row r="3">
      <c r="A3" s="7" t="inlineStr">
        <is>
          <t>J.P. Morgan</t>
        </is>
      </c>
      <c r="B3" s="7" t="inlineStr">
        <is>
          <t>2026 Spring into J.P. Morgan</t>
        </is>
      </c>
      <c r="C3" s="7" t="inlineStr">
        <is>
          <t>Spring Week</t>
        </is>
      </c>
      <c r="D3" s="7" t="inlineStr">
        <is>
          <t>Various</t>
        </is>
      </c>
      <c r="E3" s="7" t="inlineStr">
        <is>
          <t>London</t>
        </is>
      </c>
      <c r="F3" s="7" t="inlineStr">
        <is>
          <t>2025-10-15</t>
        </is>
      </c>
      <c r="G3" s="7" t="n"/>
      <c r="H3" s="7" t="inlineStr">
        <is>
          <t>Rejected</t>
        </is>
      </c>
      <c r="I3" s="7" t="inlineStr">
        <is>
          <t>2026-03-14</t>
        </is>
      </c>
      <c r="J3" s="7" t="n"/>
      <c r="K3" s="7" t="n"/>
      <c r="L3" s="7" t="inlineStr">
        <is>
          <t>HireVue video interview completed; no further response — inferred rejection</t>
        </is>
      </c>
      <c r="M3" s="7" t="n"/>
      <c r="N3" s="7" t="n"/>
    </row>
    <row r="4">
      <c r="A4" s="7" t="inlineStr">
        <is>
          <t>Barclays</t>
        </is>
      </c>
      <c r="B4" s="7" t="inlineStr">
        <is>
          <t>Spring Week — Sales, Trading &amp; Research</t>
        </is>
      </c>
      <c r="C4" s="7" t="inlineStr">
        <is>
          <t>Spring Week</t>
        </is>
      </c>
      <c r="D4" s="7" t="inlineStr">
        <is>
          <t>S&amp;T</t>
        </is>
      </c>
      <c r="E4" s="7" t="inlineStr">
        <is>
          <t>London</t>
        </is>
      </c>
      <c r="F4" s="7" t="inlineStr">
        <is>
          <t>2025-12-08</t>
        </is>
      </c>
      <c r="G4" s="7" t="n"/>
      <c r="H4" s="7" t="inlineStr">
        <is>
          <t>Rejected</t>
        </is>
      </c>
      <c r="I4" s="7" t="inlineStr">
        <is>
          <t>2025-12-08</t>
        </is>
      </c>
      <c r="J4" s="7" t="inlineStr">
        <is>
          <t>Complete online assessment</t>
        </is>
      </c>
      <c r="K4" s="7" t="n"/>
      <c r="L4" s="7" t="inlineStr">
        <is>
          <t>Inferred rejection — Barclays Spring Week 2026 offers already sent to other candidates weeks ago</t>
        </is>
      </c>
      <c r="M4" s="7" t="n"/>
      <c r="N4" s="7" t="n"/>
    </row>
    <row r="5">
      <c r="A5" s="7" t="inlineStr">
        <is>
          <t>Deutsche Bank</t>
        </is>
      </c>
      <c r="B5" s="7" t="inlineStr">
        <is>
          <t>Spring into Technology, Data &amp; Innovation</t>
        </is>
      </c>
      <c r="C5" s="7" t="inlineStr">
        <is>
          <t>Spring Week</t>
        </is>
      </c>
      <c r="D5" s="7" t="inlineStr">
        <is>
          <t>Technology</t>
        </is>
      </c>
      <c r="E5" s="7" t="inlineStr">
        <is>
          <t>London</t>
        </is>
      </c>
      <c r="F5" s="7" t="inlineStr">
        <is>
          <t>2025-11-01</t>
        </is>
      </c>
      <c r="G5" s="7" t="n"/>
      <c r="H5" s="7" t="inlineStr">
        <is>
          <t>Rejected</t>
        </is>
      </c>
      <c r="I5" s="7" t="inlineStr">
        <is>
          <t>2026-03-14</t>
        </is>
      </c>
      <c r="J5" s="7" t="n"/>
      <c r="K5" s="7" t="n"/>
      <c r="L5" s="7" t="inlineStr">
        <is>
          <t>Role completed hiring; application not progressed</t>
        </is>
      </c>
      <c r="M5" s="7" t="n"/>
      <c r="N5" s="7" t="n"/>
    </row>
    <row r="6">
      <c r="A6" s="7" t="inlineStr">
        <is>
          <t>Bank of America</t>
        </is>
      </c>
      <c r="B6" s="7" t="inlineStr">
        <is>
          <t>Spring Insight Program 2026</t>
        </is>
      </c>
      <c r="C6" s="7" t="inlineStr">
        <is>
          <t>Spring Week</t>
        </is>
      </c>
      <c r="D6" s="7" t="inlineStr">
        <is>
          <t>Various</t>
        </is>
      </c>
      <c r="E6" s="7" t="inlineStr">
        <is>
          <t>London</t>
        </is>
      </c>
      <c r="F6" s="7" t="inlineStr">
        <is>
          <t>2025-10-01</t>
        </is>
      </c>
      <c r="G6" s="7" t="n"/>
      <c r="H6" s="7" t="inlineStr">
        <is>
          <t>Rejected</t>
        </is>
      </c>
      <c r="I6" s="7" t="inlineStr">
        <is>
          <t>2026-03-14</t>
        </is>
      </c>
      <c r="J6" s="7" t="n"/>
      <c r="K6" s="7" t="n"/>
      <c r="L6" s="7" t="inlineStr">
        <is>
          <t>Application not proceeding after review</t>
        </is>
      </c>
      <c r="M6" s="7" t="n"/>
      <c r="N6" s="7" t="n"/>
    </row>
    <row r="7">
      <c r="A7" s="7" t="inlineStr">
        <is>
          <t>DRW</t>
        </is>
      </c>
      <c r="B7" s="7" t="inlineStr">
        <is>
          <t>Discover DRW</t>
        </is>
      </c>
      <c r="C7" s="7" t="inlineStr">
        <is>
          <t>Spring Week</t>
        </is>
      </c>
      <c r="D7" s="7" t="inlineStr">
        <is>
          <t>Quantitative Trading</t>
        </is>
      </c>
      <c r="E7" s="7" t="inlineStr">
        <is>
          <t>London</t>
        </is>
      </c>
      <c r="F7" s="7" t="inlineStr">
        <is>
          <t>2025-11-01</t>
        </is>
      </c>
      <c r="G7" s="7" t="n"/>
      <c r="H7" s="7" t="inlineStr">
        <is>
          <t>Rejected</t>
        </is>
      </c>
      <c r="I7" s="7" t="inlineStr">
        <is>
          <t>2026-03-14</t>
        </is>
      </c>
      <c r="J7" s="7" t="n"/>
      <c r="K7" s="7" t="n"/>
      <c r="L7" s="7" t="inlineStr">
        <is>
          <t>Completed quantitative assessment; application not progressed</t>
        </is>
      </c>
      <c r="M7" s="7" t="n"/>
      <c r="N7" s="7" t="n"/>
    </row>
    <row r="8">
      <c r="A8" s="7" t="inlineStr">
        <is>
          <t>BNP Paribas</t>
        </is>
      </c>
      <c r="B8" s="7" t="inlineStr">
        <is>
          <t>Spring Insight — Global Markets</t>
        </is>
      </c>
      <c r="C8" s="7" t="inlineStr">
        <is>
          <t>Spring Week</t>
        </is>
      </c>
      <c r="D8" s="7" t="inlineStr">
        <is>
          <t>Global Markets</t>
        </is>
      </c>
      <c r="E8" s="7" t="inlineStr">
        <is>
          <t>London</t>
        </is>
      </c>
      <c r="F8" s="7" t="inlineStr">
        <is>
          <t>2025-11-01</t>
        </is>
      </c>
      <c r="G8" s="7" t="n"/>
      <c r="H8" s="7" t="inlineStr">
        <is>
          <t>Rejected</t>
        </is>
      </c>
      <c r="I8" s="7" t="inlineStr">
        <is>
          <t>2026-03-14</t>
        </is>
      </c>
      <c r="J8" s="7" t="n"/>
      <c r="K8" s="7" t="n"/>
      <c r="L8" s="7" t="inlineStr">
        <is>
          <t>Inferred rejection — no response after 6+ weeks</t>
        </is>
      </c>
      <c r="M8" s="7" t="n"/>
      <c r="N8" s="7" t="n"/>
    </row>
    <row r="9">
      <c r="A9" s="7" t="inlineStr">
        <is>
          <t>Fidelity International</t>
        </is>
      </c>
      <c r="B9" s="7" t="inlineStr">
        <is>
          <t>Spring Insight Programme</t>
        </is>
      </c>
      <c r="C9" s="7" t="inlineStr">
        <is>
          <t>Spring Week</t>
        </is>
      </c>
      <c r="D9" s="7" t="inlineStr">
        <is>
          <t>Investment Management</t>
        </is>
      </c>
      <c r="E9" s="7" t="inlineStr">
        <is>
          <t>London</t>
        </is>
      </c>
      <c r="F9" s="7" t="inlineStr">
        <is>
          <t>2025-11-01</t>
        </is>
      </c>
      <c r="G9" s="7" t="n"/>
      <c r="H9" s="7" t="inlineStr">
        <is>
          <t>Rejected</t>
        </is>
      </c>
      <c r="I9" s="7" t="inlineStr">
        <is>
          <t>2026-03-14</t>
        </is>
      </c>
      <c r="J9" s="7" t="n"/>
      <c r="K9" s="7" t="n"/>
      <c r="L9" s="7" t="inlineStr">
        <is>
          <t>Rejected at Stage 1 Assessment due to competitive nature of recruiting process</t>
        </is>
      </c>
      <c r="M9" s="7" t="n"/>
      <c r="N9" s="7" t="n"/>
    </row>
    <row r="10">
      <c r="A10" s="7" t="inlineStr">
        <is>
          <t>Jefferies</t>
        </is>
      </c>
      <c r="B10" s="7" t="inlineStr">
        <is>
          <t>Equity Research Spring Week Programme</t>
        </is>
      </c>
      <c r="C10" s="7" t="inlineStr">
        <is>
          <t>Spring Week</t>
        </is>
      </c>
      <c r="D10" s="7" t="inlineStr">
        <is>
          <t>Equity Research</t>
        </is>
      </c>
      <c r="E10" s="7" t="inlineStr">
        <is>
          <t>London</t>
        </is>
      </c>
      <c r="F10" s="7" t="inlineStr">
        <is>
          <t>2025-11-27</t>
        </is>
      </c>
      <c r="G10" s="7" t="n"/>
      <c r="H10" s="7" t="inlineStr">
        <is>
          <t>Rejected</t>
        </is>
      </c>
      <c r="I10" s="7" t="inlineStr">
        <is>
          <t>2026-03-14</t>
        </is>
      </c>
      <c r="J10" s="7" t="n"/>
      <c r="K10" s="7" t="n"/>
      <c r="L10" s="7" t="inlineStr">
        <is>
          <t>Application confirmed 27 Nov 2025. No follow-up — inferred rejection after 6+ weeks</t>
        </is>
      </c>
      <c r="M10" s="7" t="n"/>
      <c r="N10" s="7" t="n"/>
    </row>
    <row r="11">
      <c r="A11" s="7" t="inlineStr">
        <is>
          <t>Citadel / Citadel Securities</t>
        </is>
      </c>
      <c r="B11" s="7" t="inlineStr">
        <is>
          <t>Discover Citadel — EMEA</t>
        </is>
      </c>
      <c r="C11" s="7" t="inlineStr">
        <is>
          <t>Spring Week</t>
        </is>
      </c>
      <c r="D11" s="7" t="inlineStr">
        <is>
          <t>Quantitative Research / Trading</t>
        </is>
      </c>
      <c r="E11" s="7" t="inlineStr">
        <is>
          <t>London</t>
        </is>
      </c>
      <c r="F11" s="7" t="inlineStr">
        <is>
          <t>2025-11-16</t>
        </is>
      </c>
      <c r="G11" s="7" t="n"/>
      <c r="H11" s="7" t="inlineStr">
        <is>
          <t>Rejected</t>
        </is>
      </c>
      <c r="I11" s="7" t="inlineStr">
        <is>
          <t>2026-03-14</t>
        </is>
      </c>
      <c r="J11" s="7" t="n"/>
      <c r="K11" s="7" t="n"/>
      <c r="L11" s="7" t="inlineStr">
        <is>
          <t>Application confirmed 16 Nov 2025. No follow-up — inferred rejection after 6+ weeks</t>
        </is>
      </c>
      <c r="M11" s="7" t="n"/>
      <c r="N11" s="7" t="n"/>
    </row>
    <row r="12">
      <c r="A12" s="7" t="inlineStr">
        <is>
          <t>Jane Street</t>
        </is>
      </c>
      <c r="B12" s="7" t="inlineStr">
        <is>
          <t>Spring Week</t>
        </is>
      </c>
      <c r="C12" s="7" t="inlineStr">
        <is>
          <t>Spring Week</t>
        </is>
      </c>
      <c r="D12" s="7" t="n"/>
      <c r="E12" s="7" t="inlineStr">
        <is>
          <t>London</t>
        </is>
      </c>
      <c r="F12" s="7" t="inlineStr">
        <is>
          <t>2025-11-22</t>
        </is>
      </c>
      <c r="G12" s="7" t="n"/>
      <c r="H12" s="7" t="inlineStr">
        <is>
          <t>Rejected</t>
        </is>
      </c>
      <c r="I12" s="7" t="inlineStr">
        <is>
          <t>2026-03-14</t>
        </is>
      </c>
      <c r="J12" s="7" t="n"/>
      <c r="K12" s="7" t="n"/>
      <c r="L12" s="7" t="inlineStr">
        <is>
          <t>Application confirmed 22 Nov 2025. No follow-up — inferred rejection after 6+ weeks</t>
        </is>
      </c>
      <c r="M12" s="7" t="n"/>
      <c r="N12" s="7" t="n"/>
    </row>
    <row r="13">
      <c r="A13" s="7" t="inlineStr">
        <is>
          <t>Optiver</t>
        </is>
      </c>
      <c r="B13" s="7" t="inlineStr">
        <is>
          <t>Future Focus Programme</t>
        </is>
      </c>
      <c r="C13" s="7" t="inlineStr">
        <is>
          <t>Spring Week</t>
        </is>
      </c>
      <c r="D13" s="7" t="n"/>
      <c r="E13" s="7" t="inlineStr">
        <is>
          <t>Amsterdam / London</t>
        </is>
      </c>
      <c r="F13" s="7" t="inlineStr">
        <is>
          <t>2025-12-10</t>
        </is>
      </c>
      <c r="G13" s="7" t="n"/>
      <c r="H13" s="7" t="inlineStr">
        <is>
          <t>Rejected</t>
        </is>
      </c>
      <c r="I13" s="7" t="inlineStr">
        <is>
          <t>2026-02-03</t>
        </is>
      </c>
      <c r="J13" s="7" t="n"/>
      <c r="K13" s="7" t="n"/>
      <c r="L13" s="7" t="inlineStr">
        <is>
          <t>Rejected from FutureFocus 2026; invited to fast-track for 2027 internship interviews</t>
        </is>
      </c>
      <c r="M13" s="7" t="n"/>
      <c r="N13" s="7" t="n"/>
    </row>
    <row r="14">
      <c r="A14" s="7" t="inlineStr">
        <is>
          <t>Citi</t>
        </is>
      </c>
      <c r="B14" s="7" t="inlineStr">
        <is>
          <t>Markets Spring Insight — 1st Year Programme</t>
        </is>
      </c>
      <c r="C14" s="7" t="inlineStr">
        <is>
          <t>Spring Week</t>
        </is>
      </c>
      <c r="D14" s="7" t="inlineStr">
        <is>
          <t>Markets</t>
        </is>
      </c>
      <c r="E14" s="7" t="inlineStr">
        <is>
          <t>London</t>
        </is>
      </c>
      <c r="F14" s="7" t="inlineStr">
        <is>
          <t>2025-11-08</t>
        </is>
      </c>
      <c r="G14" s="7" t="n"/>
      <c r="H14" s="7" t="inlineStr">
        <is>
          <t>Rejected</t>
        </is>
      </c>
      <c r="I14" s="7" t="inlineStr">
        <is>
          <t>2026-03-14</t>
        </is>
      </c>
      <c r="J14" s="7" t="n"/>
      <c r="K14" s="7" t="n"/>
      <c r="L14" s="7" t="inlineStr">
        <is>
          <t>Application confirmation received 8 Nov 2025. | Web-inferred rejection: **Likely YES** (at least partially), but with uncertainty on completeness.
The application deadline for the Citi Markets Spring Insight 1st Year Programme 2026 was  November 9–10, 2025 , meaning the</t>
        </is>
      </c>
      <c r="M14" s="7" t="n"/>
      <c r="N14" s="7" t="n"/>
    </row>
    <row r="15">
      <c r="A15" s="7" t="inlineStr">
        <is>
          <t>Point72 / Cubist Systematic</t>
        </is>
      </c>
      <c r="B15" s="7" t="inlineStr">
        <is>
          <t>Quantitative Researcher — Intern</t>
        </is>
      </c>
      <c r="C15" s="7" t="inlineStr">
        <is>
          <t>Summer Internship</t>
        </is>
      </c>
      <c r="D15" s="7" t="inlineStr">
        <is>
          <t>Quantitative Research</t>
        </is>
      </c>
      <c r="E15" s="7" t="inlineStr">
        <is>
          <t>London</t>
        </is>
      </c>
      <c r="F15" s="7" t="inlineStr">
        <is>
          <t>2026-03-12</t>
        </is>
      </c>
      <c r="G15" s="7" t="n"/>
      <c r="H15" s="7" t="inlineStr">
        <is>
          <t>Rejected</t>
        </is>
      </c>
      <c r="I15" s="7" t="inlineStr">
        <is>
          <t>2026-03-15</t>
        </is>
      </c>
      <c r="J15" s="7" t="n"/>
      <c r="K15" s="7" t="n"/>
      <c r="L15" s="7" t="inlineStr">
        <is>
          <t>Application confirmation received 12 Mar 2026 from talent@cubistsystematic.com. | Web-inferred rejection: **UNKNOWN** (cannot confirm YES or NO).
No publicly available source confirms whether Point72/Cubist Systematic has already sent out offers or rejections for their 2026 Quantitative Researcher Intern</t>
        </is>
      </c>
      <c r="M15" s="7" t="n"/>
      <c r="N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Count</t>
        </is>
      </c>
    </row>
    <row r="2">
      <c r="A2" t="inlineStr">
        <is>
          <t>Applied</t>
        </is>
      </c>
      <c r="B2">
        <f>COUNTIF(Applications!H:H,"Applied")</f>
        <v/>
      </c>
    </row>
    <row r="3">
      <c r="A3" t="inlineStr">
        <is>
          <t>Online Assessment</t>
        </is>
      </c>
      <c r="B3">
        <f>COUNTIF(Applications!H:H,"Online Assessment")</f>
        <v/>
      </c>
    </row>
    <row r="4">
      <c r="A4" t="inlineStr">
        <is>
          <t>First Round Interview</t>
        </is>
      </c>
      <c r="B4">
        <f>COUNTIF(Applications!H:H,"First Round Interview")</f>
        <v/>
      </c>
    </row>
    <row r="5">
      <c r="A5" t="inlineStr">
        <is>
          <t>Second Round Interview</t>
        </is>
      </c>
      <c r="B5">
        <f>COUNTIF(Applications!H:H,"Second Round Interview")</f>
        <v/>
      </c>
    </row>
    <row r="6">
      <c r="A6" t="inlineStr">
        <is>
          <t>Assessment Centre</t>
        </is>
      </c>
      <c r="B6">
        <f>COUNTIF(Applications!H:H,"Assessment Centre")</f>
        <v/>
      </c>
    </row>
    <row r="7">
      <c r="A7" t="inlineStr">
        <is>
          <t>Offer</t>
        </is>
      </c>
      <c r="B7">
        <f>COUNTIF(Applications!H:H,"Offer")</f>
        <v/>
      </c>
    </row>
    <row r="8">
      <c r="A8" t="inlineStr">
        <is>
          <t>Rejected</t>
        </is>
      </c>
      <c r="B8">
        <f>COUNTIF(Applications!H:H,"Rejected")</f>
        <v/>
      </c>
    </row>
    <row r="9">
      <c r="A9" t="inlineStr">
        <is>
          <t>Withdrawn</t>
        </is>
      </c>
      <c r="B9">
        <f>COUNTIF(Applications!H:H,"Withdrawn")</f>
        <v/>
      </c>
    </row>
    <row r="10">
      <c r="A10" t="inlineStr">
        <is>
          <t>Pending</t>
        </is>
      </c>
      <c r="B10">
        <f>COUNTIF(Applications!H:H,"Pending")</f>
        <v/>
      </c>
    </row>
    <row r="12">
      <c r="A12" t="inlineStr">
        <is>
          <t>Total Applications</t>
        </is>
      </c>
      <c r="B12">
        <f>COUNTA(Applications!A:A)-1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2026-03-14T20:59:39Z</dcterms:created>
  <dcterms:modified xsi:type="dcterms:W3CDTF">2026-03-20T08:32:17Z</dcterms:modified>
</cp:coreProperties>
</file>